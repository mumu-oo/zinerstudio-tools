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5"/>
    <sheet name="報價單 - 表格 3" sheetId="2" r:id="rId6"/>
    <sheet name="報價單 - 表格 3-1" sheetId="3" r:id="rId7"/>
    <sheet name="報價單 - 表格 1-1" sheetId="4" r:id="rId8"/>
    <sheet name="報價單 - 貸款比較" sheetId="5" r:id="rId9"/>
    <sheet name="報價單 - 表格 2" sheetId="6" r:id="rId10"/>
    <sheet name="報價單 - 繪圖" sheetId="7" r:id="rId1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<sst xmlns="http://schemas.openxmlformats.org/spreadsheetml/2006/main" uniqueCount="50">
  <si>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</si>
  <si>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</si>
  <si>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</si>
  <si>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</si>
  <si>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報價單</t>
  </si>
  <si>
    <t>表格 3</t>
  </si>
  <si>
    <t>報價單 - 表格 3</t>
  </si>
  <si>
    <t>報價日期</t>
  </si>
  <si>
    <t>表格 3-1</t>
  </si>
  <si>
    <t>報價單 - 表格 3-1</t>
  </si>
  <si>
    <t xml:space="preserve"> 委託人</t>
  </si>
  <si>
    <t>輸入名字</t>
  </si>
  <si>
    <t>表格 1-1</t>
  </si>
  <si>
    <t>報價單 - 表格 1-1</t>
  </si>
  <si>
    <t>訂單內容</t>
  </si>
  <si>
    <t xml:space="preserve">尺寸 ｜色數 /｜張數 </t>
  </si>
  <si>
    <t>付款方式</t>
  </si>
  <si>
    <t>賣場線上付款（連結附於信件內文）</t>
  </si>
  <si>
    <t>貸款比較</t>
  </si>
  <si>
    <t>報價單 - 貸款比較</t>
  </si>
  <si>
    <t>品名</t>
  </si>
  <si>
    <t>備註</t>
  </si>
  <si>
    <t>單價</t>
  </si>
  <si>
    <t>數量</t>
  </si>
  <si>
    <t>總價</t>
  </si>
  <si>
    <t>製版費</t>
  </si>
  <si>
    <t>黑+黃+青藍+赤紅+紫菫+綠</t>
  </si>
  <si>
    <t>螢橘+螢粉</t>
  </si>
  <si>
    <t>金+薄荷</t>
  </si>
  <si>
    <t>印刷基本費</t>
  </si>
  <si>
    <t>印刷費</t>
  </si>
  <si>
    <t>紙材費</t>
  </si>
  <si>
    <t>A3:25+10</t>
  </si>
  <si>
    <t>A3:</t>
  </si>
  <si>
    <t>防油墨背印襯紙</t>
  </si>
  <si>
    <t>裁切費</t>
  </si>
  <si>
    <t>明信片規格</t>
  </si>
  <si>
    <t>加工基本費</t>
  </si>
  <si>
    <t>手工製本</t>
  </si>
  <si>
    <t>加工費</t>
  </si>
  <si>
    <t>急件加工</t>
  </si>
  <si>
    <t>小計</t>
  </si>
  <si>
    <t>試印優惠88折</t>
  </si>
  <si>
    <t>(超商+$38)運費</t>
  </si>
  <si>
    <t>應付金額</t>
  </si>
  <si>
    <t>表格 2</t>
  </si>
  <si>
    <t>報價單 - 表格 2</t>
  </si>
  <si>
    <t>無。</t>
  </si>
  <si>
    <t>「所有工作表上的繪圖」</t>
  </si>
  <si>
    <t>報價單 - 繪圖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</si>
</sst>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-mm-dd"/>
    <numFmt numFmtId="60" formatCode="[$&quot;NT$&quot;]#,##0.0"/>
    <numFmt numFmtId="61" formatCode="[$&quot;NT$&quot;]#,##0"/>
  </numFmts>
  <fonts count="22">
    <font>
      <sz val="10"/>
      <color indexed="8"/>
      <name val="Avenir Next Regular"/>
    </font>
    <font>
      <sz val="12"/>
      <color indexed="8"/>
      <name val="Avenir Next Regular"/>
    </font>
    <font>
      <sz val="14"/>
      <color indexed="8"/>
      <name val="Avenir Next Regular"/>
    </font>
    <font>
      <sz val="10"/>
      <color indexed="8"/>
      <name val="Kohinoor Devanagari Regular"/>
    </font>
    <font>
      <sz val="14"/>
      <color indexed="8"/>
      <name val="Kohinoor Devanagari Semibold"/>
    </font>
    <font>
      <sz val="10"/>
      <color indexed="8"/>
      <name val="PingFang TC Thin"/>
    </font>
    <font>
      <u val="single"/>
      <sz val="12"/>
      <color indexed="11"/>
      <name val="Avenir Next Regular"/>
    </font>
    <font>
      <sz val="10"/>
      <color indexed="8"/>
      <name val="Kohinoor Devanagari Bold"/>
    </font>
    <font>
      <sz val="11"/>
      <color indexed="8"/>
      <name val="Kohinoor Devanagari Regular"/>
    </font>
    <font>
      <sz val="11"/>
      <color indexed="8"/>
      <name val="PingFang TC Regular"/>
    </font>
    <font>
      <sz val="11"/>
      <color indexed="8"/>
      <name val="PingFang TC Medium"/>
    </font>
    <font>
      <sz val="11"/>
      <color indexed="8"/>
      <name val="PingFang TC Light"/>
    </font>
    <font>
      <u val="single"/>
      <sz val="11"/>
      <color indexed="8"/>
      <name val="PingFang TC Medium"/>
    </font>
    <font>
      <sz val="11"/>
      <color indexed="13"/>
      <name val="PingFang TC Regular"/>
    </font>
    <font>
      <sz val="8"/>
      <color indexed="8"/>
      <name val="PingFang TC Medium"/>
    </font>
    <font>
      <sz val="11"/>
      <color indexed="8"/>
      <name val="PingFang TC Semibold"/>
    </font>
    <font>
      <sz val="8"/>
      <color indexed="8"/>
      <name val="PingFang TC Thin"/>
    </font>
    <font>
      <sz val="14"/>
      <color indexed="8"/>
      <name val="PingFang TC Medium"/>
    </font>
    <font>
      <sz val="14"/>
      <color indexed="8"/>
      <name val="PingFang TC Semibold"/>
    </font>
    <font>
      <sz val="32"/>
      <color indexed="8"/>
      <name val="Kohinoor Devanagari Bold"/>
    </font>
    <font>
      <sz val="32"/>
      <color indexed="8"/>
      <name val="Kohinoor Devanagari Light"/>
    </font>
    <font>
      <sz val="24"/>
      <color indexed="8"/>
      <name val="Kohinoor Devanagari Light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23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>
        <color indexed="8"/>
      </bottom>
      <diagonal/>
    </border>
    <border>
      <left/>
      <right/>
      <top>
        <color indexed="8"/>
      </top>
      <bottom>
        <color indexed="8"/>
      </bottom>
      <diagonal/>
    </border>
    <border>
      <left/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/>
      <diagonal/>
    </border>
    <border>
      <left/>
      <right/>
      <top>
        <color indexed="8"/>
      </top>
      <bottom/>
      <diagonal/>
    </border>
    <border>
      <left/>
      <right>
        <color indexed="8"/>
      </right>
      <top>
        <color indexed="8"/>
      </top>
      <bottom/>
      <diagonal/>
    </border>
    <border>
      <left>
        <color indexed="8"/>
      </left>
      <right/>
      <top/>
      <bottom/>
      <diagonal/>
    </border>
    <border>
      <left/>
      <right/>
      <top/>
      <bottom/>
      <diagonal/>
    </border>
    <border>
      <left/>
      <right>
        <color indexed="8"/>
      </right>
      <top/>
      <bottom/>
      <diagonal/>
    </border>
    <border>
      <left/>
      <right/>
      <top/>
      <bottom>
        <color indexed="8"/>
      </bottom>
      <diagonal/>
    </border>
    <border>
      <left/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 style="thin">
        <color indexed="17"/>
      </right>
      <top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>
        <color indexed="8"/>
      </top>
      <bottom style="thin">
        <color indexed="17"/>
      </bottom>
      <diagonal/>
    </border>
    <border>
      <left style="thin">
        <color indexed="17"/>
      </left>
      <right>
        <color indexed="8"/>
      </right>
      <top>
        <color indexed="8"/>
      </top>
      <bottom style="thin">
        <color indexed="17"/>
      </bottom>
      <diagonal/>
    </border>
    <border>
      <left>
        <color indexed="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>
        <color indexed="8"/>
      </right>
      <top style="thin">
        <color indexed="17"/>
      </top>
      <bottom style="thin">
        <color indexed="17"/>
      </bottom>
      <diagonal/>
    </border>
    <border>
      <left>
        <color indexed="8"/>
      </left>
      <right style="thin">
        <color indexed="17"/>
      </right>
      <top style="thin">
        <color indexed="17"/>
      </top>
      <bottom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>
        <color indexed="8"/>
      </bottom>
      <diagonal/>
    </border>
    <border>
      <left style="thin">
        <color indexed="17"/>
      </left>
      <right>
        <color indexed="8"/>
      </right>
      <top style="thin">
        <color indexed="17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6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6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7" borderId="1" applyNumberFormat="1" applyFont="1" applyFill="0" applyBorder="1" applyAlignment="1" applyProtection="0">
      <alignment horizontal="right" vertical="top" wrapText="1"/>
    </xf>
    <xf numFmtId="59" fontId="8" borderId="1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9" borderId="1" applyNumberFormat="1" applyFont="1" applyFill="0" applyBorder="1" applyAlignment="1" applyProtection="0">
      <alignment horizontal="left" vertical="top" wrapText="1"/>
    </xf>
    <xf numFmtId="49" fontId="10" fillId="4" borderId="1" applyNumberFormat="1" applyFont="1" applyFill="1" applyBorder="1" applyAlignment="1" applyProtection="0">
      <alignment horizontal="center" vertical="top"/>
    </xf>
    <xf numFmtId="0" fontId="0" applyNumberFormat="1" applyFont="1" applyFill="0" applyBorder="0" applyAlignment="1" applyProtection="0">
      <alignment vertical="top" wrapText="1"/>
    </xf>
    <xf numFmtId="49" fontId="11" borderId="1" applyNumberFormat="1" applyFont="1" applyFill="0" applyBorder="1" applyAlignment="1" applyProtection="0">
      <alignment horizontal="left" vertical="bottom" wrapText="1"/>
    </xf>
    <xf numFmtId="49" fontId="10" borderId="1" applyNumberFormat="1" applyFont="1" applyFill="0" applyBorder="1" applyAlignment="1" applyProtection="0">
      <alignment vertical="bottom" wrapText="1"/>
    </xf>
    <xf numFmtId="49" fontId="11" fillId="5" borderId="1" applyNumberFormat="1" applyFont="1" applyFill="1" applyBorder="1" applyAlignment="1" applyProtection="0">
      <alignment horizontal="left" vertical="bottom" wrapText="1"/>
    </xf>
    <xf numFmtId="49" fontId="12" fillId="5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top" wrapText="1"/>
    </xf>
    <xf numFmtId="49" fontId="13" fillId="6" borderId="2" applyNumberFormat="1" applyFont="1" applyFill="1" applyBorder="1" applyAlignment="1" applyProtection="0">
      <alignment horizontal="left" vertical="top" wrapText="1"/>
    </xf>
    <xf numFmtId="49" fontId="13" fillId="6" borderId="3" applyNumberFormat="1" applyFont="1" applyFill="1" applyBorder="1" applyAlignment="1" applyProtection="0">
      <alignment horizontal="left" vertical="top" wrapText="1"/>
    </xf>
    <xf numFmtId="49" fontId="13" fillId="6" borderId="4" applyNumberFormat="1" applyFont="1" applyFill="1" applyBorder="1" applyAlignment="1" applyProtection="0">
      <alignment horizontal="left" vertical="top" wrapText="1"/>
    </xf>
    <xf numFmtId="49" fontId="5" borderId="1" applyNumberFormat="1" applyFont="1" applyFill="0" applyBorder="1" applyAlignment="1" applyProtection="0">
      <alignment vertical="center" wrapText="1"/>
    </xf>
    <xf numFmtId="49" fontId="5" borderId="5" applyNumberFormat="1" applyFont="1" applyFill="0" applyBorder="1" applyAlignment="1" applyProtection="0">
      <alignment vertical="center" wrapText="1"/>
    </xf>
    <xf numFmtId="60" fontId="5" borderId="6" applyNumberFormat="1" applyFont="1" applyFill="0" applyBorder="1" applyAlignment="1" applyProtection="0">
      <alignment horizontal="left" vertical="center" wrapText="1"/>
    </xf>
    <xf numFmtId="1" fontId="5" borderId="6" applyNumberFormat="1" applyFont="1" applyFill="0" applyBorder="1" applyAlignment="1" applyProtection="0">
      <alignment horizontal="left" vertical="center" wrapText="1"/>
    </xf>
    <xf numFmtId="61" fontId="5" borderId="7" applyNumberFormat="1" applyFont="1" applyFill="0" applyBorder="1" applyAlignment="1" applyProtection="0">
      <alignment horizontal="left" vertical="center" wrapText="1"/>
    </xf>
    <xf numFmtId="49" fontId="5" fillId="5" borderId="8" applyNumberFormat="1" applyFont="1" applyFill="1" applyBorder="1" applyAlignment="1" applyProtection="0">
      <alignment vertical="center" wrapText="1"/>
    </xf>
    <xf numFmtId="60" fontId="5" fillId="5" borderId="9" applyNumberFormat="1" applyFont="1" applyFill="1" applyBorder="1" applyAlignment="1" applyProtection="0">
      <alignment horizontal="left" vertical="center" wrapText="1"/>
    </xf>
    <xf numFmtId="1" fontId="5" fillId="5" borderId="9" applyNumberFormat="1" applyFont="1" applyFill="1" applyBorder="1" applyAlignment="1" applyProtection="0">
      <alignment horizontal="left" vertical="center" wrapText="1"/>
    </xf>
    <xf numFmtId="61" fontId="5" fillId="5" borderId="10" applyNumberFormat="1" applyFont="1" applyFill="1" applyBorder="1" applyAlignment="1" applyProtection="0">
      <alignment horizontal="left" vertical="center" wrapText="1"/>
    </xf>
    <xf numFmtId="49" fontId="5" borderId="8" applyNumberFormat="1" applyFont="1" applyFill="0" applyBorder="1" applyAlignment="1" applyProtection="0">
      <alignment vertical="center" wrapText="1"/>
    </xf>
    <xf numFmtId="60" fontId="5" borderId="9" applyNumberFormat="1" applyFont="1" applyFill="0" applyBorder="1" applyAlignment="1" applyProtection="0">
      <alignment horizontal="left" vertical="center" wrapText="1"/>
    </xf>
    <xf numFmtId="1" fontId="5" borderId="9" applyNumberFormat="1" applyFont="1" applyFill="0" applyBorder="1" applyAlignment="1" applyProtection="0">
      <alignment horizontal="left" vertical="center" wrapText="1"/>
    </xf>
    <xf numFmtId="61" fontId="5" borderId="10" applyNumberFormat="1" applyFont="1" applyFill="0" applyBorder="1" applyAlignment="1" applyProtection="0">
      <alignment horizontal="left" vertical="center" wrapText="1"/>
    </xf>
    <xf numFmtId="61" fontId="5" fillId="5" borderId="8" applyNumberFormat="1" applyFont="1" applyFill="1" applyBorder="1" applyAlignment="1" applyProtection="0">
      <alignment vertical="center" wrapText="1"/>
    </xf>
    <xf numFmtId="60" fontId="5" fillId="5" borderId="11" applyNumberFormat="1" applyFont="1" applyFill="1" applyBorder="1" applyAlignment="1" applyProtection="0">
      <alignment horizontal="left" vertical="center" wrapText="1"/>
    </xf>
    <xf numFmtId="61" fontId="5" fillId="5" borderId="12" applyNumberFormat="1" applyFont="1" applyFill="1" applyBorder="1" applyAlignment="1" applyProtection="0">
      <alignment horizontal="left" vertical="center" wrapText="1"/>
    </xf>
    <xf numFmtId="61" fontId="5" borderId="13" applyNumberFormat="1" applyFont="1" applyFill="0" applyBorder="1" applyAlignment="1" applyProtection="0">
      <alignment vertical="center" wrapText="1"/>
    </xf>
    <xf numFmtId="60" fontId="5" borderId="1" applyNumberFormat="1" applyFont="1" applyFill="0" applyBorder="1" applyAlignment="1" applyProtection="0">
      <alignment horizontal="left" vertical="center" wrapText="1"/>
    </xf>
    <xf numFmtId="1" fontId="5" borderId="13" applyNumberFormat="1" applyFont="1" applyFill="0" applyBorder="1" applyAlignment="1" applyProtection="0">
      <alignment horizontal="left" vertical="center" wrapText="1"/>
    </xf>
    <xf numFmtId="61" fontId="5" borderId="1" applyNumberFormat="1" applyFont="1" applyFill="0" applyBorder="1" applyAlignment="1" applyProtection="0">
      <alignment horizontal="left" vertical="center" wrapText="1"/>
    </xf>
    <xf numFmtId="49" fontId="5" fillId="5" borderId="1" applyNumberFormat="1" applyFont="1" applyFill="1" applyBorder="1" applyAlignment="1" applyProtection="0">
      <alignment vertical="center" wrapText="1"/>
    </xf>
    <xf numFmtId="60" fontId="5" fillId="5" borderId="1" applyNumberFormat="1" applyFont="1" applyFill="1" applyBorder="1" applyAlignment="1" applyProtection="0">
      <alignment horizontal="left" vertical="center" wrapText="1"/>
    </xf>
    <xf numFmtId="1" fontId="5" fillId="5" borderId="1" applyNumberFormat="1" applyFont="1" applyFill="1" applyBorder="1" applyAlignment="1" applyProtection="0">
      <alignment horizontal="left" vertical="center" wrapText="1"/>
    </xf>
    <xf numFmtId="61" fontId="5" fillId="5" borderId="1" applyNumberFormat="1" applyFont="1" applyFill="1" applyBorder="1" applyAlignment="1" applyProtection="0">
      <alignment horizontal="left" vertical="center" wrapText="1"/>
    </xf>
    <xf numFmtId="1" fontId="5" borderId="1" applyNumberFormat="1" applyFont="1" applyFill="0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vertical="top" wrapText="1"/>
    </xf>
    <xf numFmtId="49" fontId="5" fillId="5" borderId="1" applyNumberFormat="1" applyFont="1" applyFill="1" applyBorder="1" applyAlignment="1" applyProtection="0">
      <alignment vertical="top" wrapText="1"/>
    </xf>
    <xf numFmtId="60" fontId="5" fillId="5" borderId="1" applyNumberFormat="1" applyFont="1" applyFill="1" applyBorder="1" applyAlignment="1" applyProtection="0">
      <alignment horizontal="left" vertical="top" wrapText="1"/>
    </xf>
    <xf numFmtId="1" fontId="5" fillId="5" borderId="1" applyNumberFormat="1" applyFont="1" applyFill="1" applyBorder="1" applyAlignment="1" applyProtection="0">
      <alignment horizontal="left" vertical="top" wrapText="1"/>
    </xf>
    <xf numFmtId="60" fontId="5" borderId="1" applyNumberFormat="1" applyFont="1" applyFill="0" applyBorder="1" applyAlignment="1" applyProtection="0">
      <alignment horizontal="left" vertical="top" wrapText="1"/>
    </xf>
    <xf numFmtId="1" fontId="5" borderId="1" applyNumberFormat="1" applyFont="1" applyFill="0" applyBorder="1" applyAlignment="1" applyProtection="0">
      <alignment horizontal="left" vertical="top" wrapText="1"/>
    </xf>
    <xf numFmtId="61" fontId="5" borderId="1" applyNumberFormat="1" applyFont="1" applyFill="0" applyBorder="1" applyAlignment="1" applyProtection="0">
      <alignment vertical="top" wrapText="1"/>
    </xf>
    <xf numFmtId="49" fontId="14" borderId="1" applyNumberFormat="1" applyFont="1" applyFill="0" applyBorder="1" applyAlignment="1" applyProtection="0">
      <alignment horizontal="left" vertical="bottom" wrapText="1"/>
    </xf>
    <xf numFmtId="61" fontId="15" borderId="1" applyNumberFormat="1" applyFont="1" applyFill="0" applyBorder="1" applyAlignment="1" applyProtection="0">
      <alignment horizontal="left" vertical="bottom" wrapText="1"/>
    </xf>
    <xf numFmtId="61" fontId="5" fillId="5" borderId="1" applyNumberFormat="1" applyFont="1" applyFill="1" applyBorder="1" applyAlignment="1" applyProtection="0">
      <alignment vertical="top" wrapText="1"/>
    </xf>
    <xf numFmtId="49" fontId="14" fillId="5" borderId="1" applyNumberFormat="1" applyFont="1" applyFill="1" applyBorder="1" applyAlignment="1" applyProtection="0">
      <alignment horizontal="left" vertical="bottom" wrapText="1"/>
    </xf>
    <xf numFmtId="61" fontId="15" fillId="5" borderId="1" applyNumberFormat="1" applyFont="1" applyFill="1" applyBorder="1" applyAlignment="1" applyProtection="0">
      <alignment horizontal="left" vertical="bottom" wrapText="1"/>
    </xf>
    <xf numFmtId="61" fontId="5" borderId="2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16" borderId="1" applyNumberFormat="1" applyFont="1" applyFill="0" applyBorder="1" applyAlignment="1" applyProtection="0">
      <alignment horizontal="left" vertical="bottom" wrapText="1"/>
    </xf>
    <xf numFmtId="49" fontId="17" fillId="5" borderId="1" applyNumberFormat="1" applyFont="1" applyFill="1" applyBorder="1" applyAlignment="1" applyProtection="0">
      <alignment horizontal="left" vertical="center" wrapText="1"/>
    </xf>
    <xf numFmtId="61" fontId="18" fillId="5" borderId="1" applyNumberFormat="1" applyFont="1" applyFill="1" applyBorder="1" applyAlignment="1" applyProtection="0">
      <alignment horizontal="left" vertical="bottom" wrapText="1"/>
    </xf>
    <xf numFmtId="0" fontId="0" applyNumberFormat="1" applyFont="1" applyFill="0" applyBorder="0" applyAlignment="1" applyProtection="0">
      <alignment vertical="top" wrapText="1"/>
    </xf>
    <xf numFmtId="49" fontId="5" borderId="14" applyNumberFormat="1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fillId="7" borderId="17" applyNumberFormat="0" applyFont="1" applyFill="1" applyBorder="1" applyAlignment="1" applyProtection="0">
      <alignment vertical="top" wrapText="1"/>
    </xf>
    <xf numFmtId="0" fontId="0" fillId="7" borderId="18" applyNumberFormat="0" applyFont="1" applyFill="1" applyBorder="1" applyAlignment="1" applyProtection="0">
      <alignment vertical="top" wrapText="1"/>
    </xf>
    <xf numFmtId="0" fontId="0" fillId="7" borderId="19" applyNumberFormat="0" applyFont="1" applyFill="1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indexed="14"/>
          <bgColor indexed="15"/>
        </patternFill>
      </fill>
    </dxf>
    <dxf>
      <font>
        <color rgb="ff000000"/>
      </font>
      <fill>
        <patternFill patternType="solid">
          <fgColor indexed="14"/>
          <bgColor indexed="15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e0e0e0"/>
      <rgbColor rgb="fffefffe"/>
      <rgbColor rgb="00000000"/>
      <rgbColor rgb="e5fffc98"/>
      <rgbColor rgb="ff494a4b"/>
      <rgbColor rgb="ffcccac6"/>
      <rgbColor rgb="fff0ebe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482805</xdr:colOff>
      <xdr:row>6</xdr:row>
      <xdr:rowOff>9312</xdr:rowOff>
    </xdr:from>
    <xdr:to>
      <xdr:col>8</xdr:col>
      <xdr:colOff>632002</xdr:colOff>
      <xdr:row>6</xdr:row>
      <xdr:rowOff>9396</xdr:rowOff>
    </xdr:to>
    <xdr:sp>
      <xdr:nvSpPr>
        <xdr:cNvPr id="2" name="線條"/>
        <xdr:cNvSpPr/>
      </xdr:nvSpPr>
      <xdr:spPr>
        <a:xfrm>
          <a:off x="1244805" y="999912"/>
          <a:ext cx="5483197" cy="8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</xdr:col>
      <xdr:colOff>647791</xdr:colOff>
      <xdr:row>2</xdr:row>
      <xdr:rowOff>15360</xdr:rowOff>
    </xdr:from>
    <xdr:to>
      <xdr:col>5</xdr:col>
      <xdr:colOff>433977</xdr:colOff>
      <xdr:row>6</xdr:row>
      <xdr:rowOff>126104</xdr:rowOff>
    </xdr:to>
    <xdr:sp>
      <xdr:nvSpPr>
        <xdr:cNvPr id="3" name="INVOICE 報價單"/>
        <xdr:cNvSpPr/>
      </xdr:nvSpPr>
      <xdr:spPr>
        <a:xfrm>
          <a:off x="1409791" y="345560"/>
          <a:ext cx="2834187" cy="77114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ctr">
          <a:spAutoFit/>
        </a:bodyPr>
        <a:lstStyle/>
        <a:p>
          <a:pPr marL="0" marR="0" indent="0" algn="l" defTabSz="41543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3200" u="none">
              <a:solidFill>
                <a:srgbClr val="000000"/>
              </a:solidFill>
              <a:uFillTx/>
              <a:latin typeface="Kohinoor Devanagari Bold"/>
              <a:ea typeface="Kohinoor Devanagari Bold"/>
              <a:cs typeface="Kohinoor Devanagari Bold"/>
              <a:sym typeface="Kohinoor Devanagari Bold"/>
            </a:defRPr>
          </a:pPr>
          <a:r>
            <a:rPr b="0" baseline="0" cap="none" i="0" spc="0" strike="noStrike" sz="3200" u="none">
              <a:solidFill>
                <a:srgbClr val="000000"/>
              </a:solidFill>
              <a:uFillTx/>
              <a:latin typeface="Kohinoor Devanagari Bold"/>
              <a:ea typeface="Kohinoor Devanagari Bold"/>
              <a:cs typeface="Kohinoor Devanagari Bold"/>
              <a:sym typeface="Kohinoor Devanagari Bold"/>
            </a:rPr>
            <a:t>INVOICE</a:t>
          </a:r>
          <a:r>
            <a:rPr b="0" baseline="0" cap="none" i="0" spc="0" strike="noStrike" sz="3200" u="none">
              <a:solidFill>
                <a:srgbClr val="000000"/>
              </a:solidFill>
              <a:uFillTx/>
              <a:latin typeface="Kohinoor Devanagari Light"/>
              <a:ea typeface="Kohinoor Devanagari Light"/>
              <a:cs typeface="Kohinoor Devanagari Light"/>
              <a:sym typeface="Kohinoor Devanagari Light"/>
            </a:rPr>
            <a:t> </a:t>
          </a:r>
          <a:r>
            <a:rPr b="0" baseline="0" cap="none" i="0" spc="0" strike="noStrike" sz="2400" u="none">
              <a:solidFill>
                <a:srgbClr val="000000"/>
              </a:solidFill>
              <a:uFillTx/>
              <a:latin typeface="Kohinoor Devanagari Light"/>
              <a:ea typeface="Kohinoor Devanagari Light"/>
              <a:cs typeface="Kohinoor Devanagari Light"/>
              <a:sym typeface="Kohinoor Devanagari Light"/>
            </a:rPr>
            <a:t>報價單</a:t>
          </a:r>
        </a:p>
      </xdr:txBody>
    </xdr:sp>
    <xdr:clientData/>
  </xdr:twoCellAnchor>
  <xdr:twoCellAnchor>
    <xdr:from>
      <xdr:col>0</xdr:col>
      <xdr:colOff>133897</xdr:colOff>
      <xdr:row>38</xdr:row>
      <xdr:rowOff>43422</xdr:rowOff>
    </xdr:from>
    <xdr:to>
      <xdr:col>8</xdr:col>
      <xdr:colOff>623022</xdr:colOff>
      <xdr:row>38</xdr:row>
      <xdr:rowOff>43423</xdr:rowOff>
    </xdr:to>
    <xdr:sp>
      <xdr:nvSpPr>
        <xdr:cNvPr id="4" name="線條"/>
        <xdr:cNvSpPr/>
      </xdr:nvSpPr>
      <xdr:spPr>
        <a:xfrm>
          <a:off x="133897" y="6317222"/>
          <a:ext cx="6585126" cy="2"/>
        </a:xfrm>
        <a:prstGeom prst="line">
          <a:avLst/>
        </a:prstGeom>
        <a:noFill/>
        <a:ln w="12700" cap="flat">
          <a:solidFill>
            <a:srgbClr val="000000"/>
          </a:solidFill>
          <a:custDash>
            <a:ds d="100000" sp="200000"/>
          </a:custDash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1361</xdr:colOff>
      <xdr:row>9</xdr:row>
      <xdr:rowOff>39461</xdr:rowOff>
    </xdr:to>
    <xdr:pic>
      <xdr:nvPicPr>
        <xdr:cNvPr id="5" name="zinestudiologo.png" descr="zinestudiologo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96521" y="0"/>
          <a:ext cx="1525363" cy="15253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105867</xdr:colOff>
      <xdr:row>39</xdr:row>
      <xdr:rowOff>16567</xdr:rowOff>
    </xdr:from>
    <xdr:to>
      <xdr:col>0</xdr:col>
      <xdr:colOff>537667</xdr:colOff>
      <xdr:row>41</xdr:row>
      <xdr:rowOff>36887</xdr:rowOff>
    </xdr:to>
    <xdr:sp>
      <xdr:nvSpPr>
        <xdr:cNvPr id="6" name="備註"/>
        <xdr:cNvSpPr txBox="1"/>
      </xdr:nvSpPr>
      <xdr:spPr>
        <a:xfrm>
          <a:off x="105867" y="6455467"/>
          <a:ext cx="431801" cy="35052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PingFang TC Light"/>
              <a:ea typeface="PingFang TC Light"/>
              <a:cs typeface="PingFang TC Light"/>
              <a:sym typeface="PingFang TC Light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PingFang TC Light"/>
              <a:ea typeface="PingFang TC Light"/>
              <a:cs typeface="PingFang TC Light"/>
              <a:sym typeface="PingFang TC Light"/>
            </a:rPr>
            <a:t>備註</a:t>
          </a:r>
        </a:p>
      </xdr:txBody>
    </xdr:sp>
    <xdr:clientData/>
  </xdr:twoCellAnchor>
  <xdr:twoCellAnchor>
    <xdr:from>
      <xdr:col>7</xdr:col>
      <xdr:colOff>499381</xdr:colOff>
      <xdr:row>40</xdr:row>
      <xdr:rowOff>30178</xdr:rowOff>
    </xdr:from>
    <xdr:to>
      <xdr:col>8</xdr:col>
      <xdr:colOff>610224</xdr:colOff>
      <xdr:row>40</xdr:row>
      <xdr:rowOff>30200</xdr:rowOff>
    </xdr:to>
    <xdr:sp>
      <xdr:nvSpPr>
        <xdr:cNvPr id="7" name="線條"/>
        <xdr:cNvSpPr/>
      </xdr:nvSpPr>
      <xdr:spPr>
        <a:xfrm flipV="1">
          <a:off x="5833381" y="6634178"/>
          <a:ext cx="872844" cy="23"/>
        </a:xfrm>
        <a:prstGeom prst="line">
          <a:avLst/>
        </a:prstGeom>
        <a:noFill/>
        <a:ln w="6350" cap="flat">
          <a:solidFill>
            <a:srgbClr val="000000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207921</xdr:colOff>
      <xdr:row>46</xdr:row>
      <xdr:rowOff>47636</xdr:rowOff>
    </xdr:from>
    <xdr:to>
      <xdr:col>8</xdr:col>
      <xdr:colOff>629274</xdr:colOff>
      <xdr:row>48</xdr:row>
      <xdr:rowOff>155586</xdr:rowOff>
    </xdr:to>
    <xdr:sp>
      <xdr:nvSpPr>
        <xdr:cNvPr id="8" name="本報價不含稅無發票 有需發票會另開請款單"/>
        <xdr:cNvSpPr txBox="1"/>
      </xdr:nvSpPr>
      <xdr:spPr>
        <a:xfrm>
          <a:off x="5541921" y="7642236"/>
          <a:ext cx="1183354" cy="43815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r" defTabSz="45720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800" u="none">
              <a:solidFill>
                <a:srgbClr val="000000"/>
              </a:solidFill>
              <a:uFillTx/>
              <a:latin typeface="PingFang TC Thin"/>
              <a:ea typeface="PingFang TC Thin"/>
              <a:cs typeface="PingFang TC Thin"/>
              <a:sym typeface="PingFang TC Thin"/>
            </a:defRPr>
          </a:pPr>
          <a:r>
            <a:rPr b="0" baseline="0" cap="none" i="0" spc="0" strike="noStrike" sz="800" u="none">
              <a:solidFill>
                <a:srgbClr val="000000"/>
              </a:solidFill>
              <a:uFillTx/>
              <a:latin typeface="PingFang TC Thin"/>
              <a:ea typeface="PingFang TC Thin"/>
              <a:cs typeface="PingFang TC Thin"/>
              <a:sym typeface="PingFang TC Thin"/>
            </a:rPr>
            <a:t>本報價不含稅無發票</a:t>
          </a:r>
          <a:br>
            <a:rPr b="0" baseline="0" cap="none" i="0" spc="0" strike="noStrike" sz="800" u="none">
              <a:solidFill>
                <a:srgbClr val="000000"/>
              </a:solidFill>
              <a:uFillTx/>
              <a:latin typeface="PingFang TC Thin"/>
              <a:ea typeface="PingFang TC Thin"/>
              <a:cs typeface="PingFang TC Thin"/>
              <a:sym typeface="PingFang TC Thin"/>
            </a:rPr>
          </a:br>
          <a:r>
            <a:rPr b="0" baseline="0" cap="none" i="0" spc="0" strike="noStrike" sz="800" u="none">
              <a:solidFill>
                <a:srgbClr val="000000"/>
              </a:solidFill>
              <a:uFillTx/>
              <a:latin typeface="PingFang TC Thin"/>
              <a:ea typeface="PingFang TC Thin"/>
              <a:cs typeface="PingFang TC Thin"/>
              <a:sym typeface="PingFang TC Thin"/>
            </a:rPr>
            <a:t>有需發票會另開請款單</a:t>
          </a:r>
        </a:p>
      </xdr:txBody>
    </xdr:sp>
    <xdr:clientData/>
  </xdr:twoCellAnchor>
  <xdr:twoCellAnchor>
    <xdr:from>
      <xdr:col>7</xdr:col>
      <xdr:colOff>499381</xdr:colOff>
      <xdr:row>43</xdr:row>
      <xdr:rowOff>138140</xdr:rowOff>
    </xdr:from>
    <xdr:to>
      <xdr:col>8</xdr:col>
      <xdr:colOff>610224</xdr:colOff>
      <xdr:row>43</xdr:row>
      <xdr:rowOff>138163</xdr:rowOff>
    </xdr:to>
    <xdr:sp>
      <xdr:nvSpPr>
        <xdr:cNvPr id="9" name="線條"/>
        <xdr:cNvSpPr/>
      </xdr:nvSpPr>
      <xdr:spPr>
        <a:xfrm flipV="1">
          <a:off x="5833381" y="7237440"/>
          <a:ext cx="872844" cy="24"/>
        </a:xfrm>
        <a:prstGeom prst="line">
          <a:avLst/>
        </a:prstGeom>
        <a:noFill/>
        <a:ln w="6350" cap="flat">
          <a:solidFill>
            <a:srgbClr val="00000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410316</xdr:colOff>
      <xdr:row>46</xdr:row>
      <xdr:rowOff>63508</xdr:rowOff>
    </xdr:from>
    <xdr:to>
      <xdr:col>8</xdr:col>
      <xdr:colOff>632002</xdr:colOff>
      <xdr:row>46</xdr:row>
      <xdr:rowOff>63511</xdr:rowOff>
    </xdr:to>
    <xdr:sp>
      <xdr:nvSpPr>
        <xdr:cNvPr id="10" name="線條"/>
        <xdr:cNvSpPr/>
      </xdr:nvSpPr>
      <xdr:spPr>
        <a:xfrm flipV="1">
          <a:off x="4982316" y="7658108"/>
          <a:ext cx="1745686" cy="4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499381</xdr:colOff>
      <xdr:row>41</xdr:row>
      <xdr:rowOff>163540</xdr:rowOff>
    </xdr:from>
    <xdr:to>
      <xdr:col>8</xdr:col>
      <xdr:colOff>610224</xdr:colOff>
      <xdr:row>41</xdr:row>
      <xdr:rowOff>163541</xdr:rowOff>
    </xdr:to>
    <xdr:sp>
      <xdr:nvSpPr>
        <xdr:cNvPr id="11" name="線條"/>
        <xdr:cNvSpPr/>
      </xdr:nvSpPr>
      <xdr:spPr>
        <a:xfrm>
          <a:off x="5833381" y="6932640"/>
          <a:ext cx="872844" cy="2"/>
        </a:xfrm>
        <a:prstGeom prst="line">
          <a:avLst/>
        </a:prstGeom>
        <a:noFill/>
        <a:ln w="6350" cap="flat">
          <a:solidFill>
            <a:srgbClr val="000000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6_LoanComparison">
  <a:themeElements>
    <a:clrScheme name="26_LoanComparison">
      <a:dk1>
        <a:srgbClr val="000000"/>
      </a:dk1>
      <a:lt1>
        <a:srgbClr val="FFFFFF"/>
      </a:lt1>
      <a:dk2>
        <a:srgbClr val="4A4A4B"/>
      </a:dk2>
      <a:lt2>
        <a:srgbClr val="C2C3C6"/>
      </a:lt2>
      <a:accent1>
        <a:srgbClr val="53BBE0"/>
      </a:accent1>
      <a:accent2>
        <a:srgbClr val="6DCFB9"/>
      </a:accent2>
      <a:accent3>
        <a:srgbClr val="90BF72"/>
      </a:accent3>
      <a:accent4>
        <a:srgbClr val="F2C34A"/>
      </a:accent4>
      <a:accent5>
        <a:srgbClr val="FF4741"/>
      </a:accent5>
      <a:accent6>
        <a:srgbClr val="FF8700"/>
      </a:accent6>
      <a:hlink>
        <a:srgbClr val="0000FF"/>
      </a:hlink>
      <a:folHlink>
        <a:srgbClr val="FF00FF"/>
      </a:folHlink>
    </a:clrScheme>
    <a:fontScheme name="26_LoanComparison">
      <a:majorFont>
        <a:latin typeface="Publico Headline Roman"/>
        <a:ea typeface="Publico Headline Roman"/>
        <a:cs typeface="Publico Headline Roman"/>
      </a:majorFont>
      <a:minorFont>
        <a:latin typeface="Avenir Next Regular"/>
        <a:ea typeface="Avenir Next Regular"/>
        <a:cs typeface="Avenir Next Regular"/>
      </a:minorFont>
    </a:fontScheme>
    <a:fmtScheme name="26_LoanCompariso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4B4A4B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all" i="0" spc="0" strike="noStrike" sz="14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Publico Text Roman"/>
            <a:ea typeface="Publico Text Roman"/>
            <a:cs typeface="Publico Text Roman"/>
            <a:sym typeface="Publico Text Roma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40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8</v>
      </c>
      <c r="D11" t="s" s="5">
        <v>9</v>
      </c>
    </row>
    <row r="12">
      <c r="B12" s="4"/>
      <c r="C12" t="s" s="4">
        <v>12</v>
      </c>
      <c r="D12" t="s" s="5">
        <v>13</v>
      </c>
    </row>
    <row r="13">
      <c r="B13" s="4"/>
      <c r="C13" t="s" s="4">
        <v>18</v>
      </c>
      <c r="D13" t="s" s="5">
        <v>19</v>
      </c>
    </row>
    <row r="14">
      <c r="B14" s="4"/>
      <c r="C14" t="s" s="4">
        <v>45</v>
      </c>
      <c r="D14" t="s" s="5">
        <v>46</v>
      </c>
    </row>
    <row r="15">
      <c r="B15" s="4"/>
      <c r="C15" t="s" s="4">
        <v>48</v>
      </c>
      <c r="D15" t="s" s="5">
        <v>49</v>
      </c>
    </row>
  </sheetData>
  <mergeCells count="1">
    <mergeCell ref="B3:D3"/>
  </mergeCells>
  <hyperlinks>
    <hyperlink ref="D10" location="'報價單 - 表格 3'!R1C1" tooltip="" display="報價單 - 表格 3"/>
    <hyperlink ref="D11" location="'報價單 - 表格 3-1'!R1C1" tooltip="" display="報價單 - 表格 3-1"/>
    <hyperlink ref="D12" location="'報價單 - 表格 1-1'!R1C1" tooltip="" display="報價單 - 表格 1-1"/>
    <hyperlink ref="D13" location="'報價單 - 貸款比較'!R1C1" tooltip="" display="報價單 - 貸款比較"/>
    <hyperlink ref="D14" location="'報價單 - 表格 2'!R1C1" tooltip="" display="報價單 - 表格 2"/>
    <hyperlink ref="D15" location="'報價單 - 繪圖'!R1C1" tooltip="" display="報價單 - 繪圖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21.65" customHeight="1" outlineLevelRow="0" outlineLevelCol="0"/>
  <cols>
    <col min="1" max="1" width="16.3516" style="6" customWidth="1"/>
    <col min="2" max="16384" width="16.3516" style="6" customWidth="1"/>
  </cols>
  <sheetData>
    <row r="1" ht="14" customHeight="1">
      <c r="A1" t="s" s="7">
        <v>7</v>
      </c>
    </row>
    <row r="2" ht="15.85" customHeight="1">
      <c r="A2" s="8">
        <v>45658</v>
      </c>
    </row>
  </sheetData>
  <pageMargins left="0.5" right="0.5" top="0.25" bottom="0.5" header="0.25" footer="0.25"/>
  <pageSetup firstPageNumber="1" fitToHeight="1" fitToWidth="1" scale="96" useFirstPageNumber="0" orientation="portrait" pageOrder="downThenOver"/>
  <headerFooter>
    <oddFooter>&amp;L&amp;"Kohinoor Devanagari Regular,Regular"&amp;10&amp;K000000zinerstudio.com&amp;C&amp;"Kohinoor Devanagari Semibold,Regular"&amp;14&amp;K000000  THANK YOU&amp;R&amp;"PingFang TC Thin,Regular"&amp;10&amp;K000000誌造所 ZINER STUDIO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 showGridLines="0" defaultGridColor="1"/>
  </sheetViews>
  <sheetFormatPr defaultColWidth="16.3333" defaultRowHeight="21.65" customHeight="1" outlineLevelRow="0" outlineLevelCol="0"/>
  <cols>
    <col min="1" max="1" width="8.125" style="9" customWidth="1"/>
    <col min="2" max="2" width="26.2266" style="9" customWidth="1"/>
    <col min="3" max="16384" width="16.3516" style="9" customWidth="1"/>
  </cols>
  <sheetData>
    <row r="1" ht="16" customHeight="1">
      <c r="A1" t="s" s="10">
        <v>10</v>
      </c>
      <c r="B1" t="s" s="11">
        <v>11</v>
      </c>
    </row>
  </sheetData>
  <pageMargins left="0.5" right="0.5" top="0.25" bottom="0.5" header="0.25" footer="0.25"/>
  <pageSetup firstPageNumber="1" fitToHeight="1" fitToWidth="1" scale="96" useFirstPageNumber="0" orientation="portrait" pageOrder="downThenOver"/>
  <headerFooter>
    <oddFooter>&amp;L&amp;"Kohinoor Devanagari Regular,Regular"&amp;10&amp;K000000zinerstudio.com&amp;C&amp;"Kohinoor Devanagari Semibold,Regular"&amp;14&amp;K000000  THANK YOU&amp;R&amp;"PingFang TC Thin,Regular"&amp;10&amp;K000000誌造所 ZINER STUDIO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B2"/>
  <sheetViews>
    <sheetView workbookViewId="0" showGridLines="0" defaultGridColor="1"/>
  </sheetViews>
  <sheetFormatPr defaultColWidth="11.5099" defaultRowHeight="21.65" customHeight="1" outlineLevelRow="0" outlineLevelCol="0"/>
  <cols>
    <col min="1" max="1" width="11.4688" style="12" customWidth="1"/>
    <col min="2" max="2" width="58.1094" style="12" customWidth="1"/>
    <col min="3" max="16384" width="11.5156" style="12" customWidth="1"/>
  </cols>
  <sheetData>
    <row r="1" ht="24" customHeight="1">
      <c r="A1" t="s" s="13">
        <v>14</v>
      </c>
      <c r="B1" t="s" s="14">
        <v>15</v>
      </c>
    </row>
    <row r="2" ht="24.4" customHeight="1">
      <c r="A2" t="s" s="15">
        <v>16</v>
      </c>
      <c r="B2" t="s" s="16">
        <v>17</v>
      </c>
    </row>
  </sheetData>
  <conditionalFormatting sqref="B2">
    <cfRule type="containsBlanks" dxfId="0" priority="1" stopIfTrue="1">
      <formula>ISBLANK(B2)</formula>
    </cfRule>
  </conditionalFormatting>
  <dataValidations count="1">
    <dataValidation type="list" allowBlank="1" showInputMessage="1" showErrorMessage="1" sqref="B2">
      <formula1>"賣場線上付款（連結附於信件內文）,轉帳：國泰世華商業銀行 013｜分行：營業部 218｜699505198208,現金付款,需開統編發票，另提供請款平台（連結附件於信件內文）"</formula1>
    </dataValidation>
  </dataValidations>
  <pageMargins left="0.5" right="0.5" top="0.25" bottom="0.5" header="0.25" footer="0.25"/>
  <pageSetup firstPageNumber="1" fitToHeight="1" fitToWidth="1" scale="96" useFirstPageNumber="0" orientation="portrait" pageOrder="downThenOver"/>
  <headerFooter>
    <oddFooter>&amp;L&amp;"Kohinoor Devanagari Regular,Regular"&amp;10&amp;K000000zinerstudio.com&amp;C&amp;"Kohinoor Devanagari Semibold,Regular"&amp;14&amp;K000000  THANK YOU&amp;R&amp;"PingFang TC Thin,Regular"&amp;10&amp;K000000誌造所 ZINER STUDIO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>
      <pane topLeftCell="A2" xSplit="0" ySplit="1" activePane="bottomLeft" state="frozen"/>
    </sheetView>
  </sheetViews>
  <sheetFormatPr defaultColWidth="11.5099" defaultRowHeight="21.65" customHeight="1" outlineLevelRow="0" outlineLevelCol="0"/>
  <cols>
    <col min="1" max="1" width="14.7031" style="17" customWidth="1"/>
    <col min="2" max="2" width="36.7734" style="17" customWidth="1"/>
    <col min="3" max="3" width="12.0234" style="17" customWidth="1"/>
    <col min="4" max="5" width="11.4688" style="17" customWidth="1"/>
    <col min="6" max="16384" width="11.5156" style="17" customWidth="1"/>
  </cols>
  <sheetData>
    <row r="1" ht="24" customHeight="1">
      <c r="A1" t="s" s="18">
        <v>20</v>
      </c>
      <c r="B1" t="s" s="19">
        <v>21</v>
      </c>
      <c r="C1" t="s" s="19">
        <v>22</v>
      </c>
      <c r="D1" t="s" s="19">
        <v>23</v>
      </c>
      <c r="E1" t="s" s="20">
        <v>24</v>
      </c>
    </row>
    <row r="2" ht="22" customHeight="1">
      <c r="A2" t="s" s="21">
        <v>25</v>
      </c>
      <c r="B2" t="s" s="22">
        <v>26</v>
      </c>
      <c r="C2" s="23">
        <v>110</v>
      </c>
      <c r="D2" s="24"/>
      <c r="E2" s="25" cm="1">
        <f t="array" ref="E2">PRODUCT(C2,D2)</f>
        <v>110</v>
      </c>
    </row>
    <row r="3" ht="22" customHeight="1">
      <c r="A3" t="s" s="21">
        <v>25</v>
      </c>
      <c r="B3" t="s" s="26">
        <v>27</v>
      </c>
      <c r="C3" s="27">
        <v>130</v>
      </c>
      <c r="D3" s="28"/>
      <c r="E3" s="29" cm="1">
        <f t="array" ref="E3">PRODUCT(C3,D3)</f>
        <v>130</v>
      </c>
    </row>
    <row r="4" ht="22" customHeight="1">
      <c r="A4" t="s" s="21">
        <v>25</v>
      </c>
      <c r="B4" t="s" s="30">
        <v>28</v>
      </c>
      <c r="C4" s="31">
        <v>170</v>
      </c>
      <c r="D4" s="32"/>
      <c r="E4" s="33" cm="1">
        <f t="array" ref="E4">PRODUCT(C4,D4)</f>
        <v>170</v>
      </c>
    </row>
    <row r="5" ht="22" customHeight="1">
      <c r="A5" t="s" s="21">
        <v>29</v>
      </c>
      <c r="B5" s="34"/>
      <c r="C5" s="35">
        <v>250</v>
      </c>
      <c r="D5" s="28"/>
      <c r="E5" s="36" cm="1">
        <f t="array" ref="E5">PRODUCT(C5,D5)</f>
        <v>250</v>
      </c>
    </row>
    <row r="6" ht="22" customHeight="1">
      <c r="A6" t="s" s="21">
        <v>30</v>
      </c>
      <c r="B6" s="37"/>
      <c r="C6" s="38">
        <v>5.5</v>
      </c>
      <c r="D6" s="39" cm="1">
        <f t="array" ref="D6">D7+D8</f>
        <v>0</v>
      </c>
      <c r="E6" s="40" cm="1">
        <f t="array" ref="E6">PRODUCT(C6,D6)</f>
        <v>0</v>
      </c>
    </row>
    <row r="7" ht="22" customHeight="1">
      <c r="A7" t="s" s="21">
        <v>31</v>
      </c>
      <c r="B7" t="s" s="41">
        <v>32</v>
      </c>
      <c r="C7" s="42">
        <v>5</v>
      </c>
      <c r="D7" s="43"/>
      <c r="E7" s="44" cm="1">
        <f t="array" ref="E7">PRODUCT(C7,D7)</f>
        <v>5</v>
      </c>
    </row>
    <row r="8" ht="22" customHeight="1">
      <c r="A8" t="s" s="21">
        <v>31</v>
      </c>
      <c r="B8" t="s" s="21">
        <v>33</v>
      </c>
      <c r="C8" s="38" cm="1">
        <f t="array" ref="C8">3</f>
        <v>3</v>
      </c>
      <c r="D8" s="45"/>
      <c r="E8" s="40" cm="1">
        <f t="array" ref="E8">PRODUCT(C8,D8)</f>
        <v>3</v>
      </c>
    </row>
    <row r="9" ht="22" customHeight="1">
      <c r="A9" t="s" s="21">
        <v>31</v>
      </c>
      <c r="B9" t="s" s="41">
        <v>34</v>
      </c>
      <c r="C9" s="42">
        <v>1.5</v>
      </c>
      <c r="D9" s="43">
        <v>0</v>
      </c>
      <c r="E9" s="44" cm="1">
        <f t="array" ref="E9">PRODUCT(C9,D9)</f>
        <v>0</v>
      </c>
    </row>
    <row r="10" ht="22" customHeight="1">
      <c r="A10" t="s" s="21">
        <v>35</v>
      </c>
      <c r="B10" t="s" s="21">
        <v>36</v>
      </c>
      <c r="C10" s="38">
        <v>300</v>
      </c>
      <c r="D10" s="45">
        <v>0</v>
      </c>
      <c r="E10" s="40" cm="1">
        <f t="array" ref="E10">PRODUCT(C10,D10)</f>
        <v>0</v>
      </c>
    </row>
    <row r="11" ht="22" customHeight="1">
      <c r="A11" t="s" s="46">
        <v>37</v>
      </c>
      <c r="B11" t="s" s="47">
        <v>38</v>
      </c>
      <c r="C11" s="48">
        <v>1000</v>
      </c>
      <c r="D11" s="49"/>
      <c r="E11" s="48" cm="1">
        <f t="array" ref="E11">PRODUCT(C11,D11)</f>
        <v>1000</v>
      </c>
    </row>
    <row r="12" ht="22" customHeight="1">
      <c r="A12" t="s" s="46">
        <v>39</v>
      </c>
      <c r="B12" t="s" s="46">
        <v>38</v>
      </c>
      <c r="C12" s="50">
        <v>40</v>
      </c>
      <c r="D12" s="51"/>
      <c r="E12" s="50" cm="1">
        <f t="array" ref="E12">PRODUCT(C12,D12)</f>
        <v>40</v>
      </c>
    </row>
    <row r="13" ht="22" customHeight="1">
      <c r="A13" t="s" s="46">
        <v>39</v>
      </c>
      <c r="B13" t="s" s="47">
        <v>40</v>
      </c>
      <c r="C13" s="48">
        <v>600</v>
      </c>
      <c r="D13" s="49">
        <v>0</v>
      </c>
      <c r="E13" s="48" cm="1">
        <f t="array" ref="E13">PRODUCT(C13,D13)</f>
        <v>0</v>
      </c>
    </row>
    <row r="14" ht="24" customHeight="1">
      <c r="A14" s="46"/>
      <c r="B14" s="52"/>
      <c r="C14" s="50"/>
      <c r="D14" t="s" s="53">
        <v>41</v>
      </c>
      <c r="E14" s="54" cm="1">
        <f t="array" ref="E14">SUM(E2:E13)</f>
        <v>1708</v>
      </c>
    </row>
    <row r="15" ht="24" customHeight="1">
      <c r="A15" s="46"/>
      <c r="B15" s="55"/>
      <c r="C15" s="48"/>
      <c r="D15" t="s" s="56">
        <v>42</v>
      </c>
      <c r="E15" s="57" cm="1">
        <f t="array" ref="E15">E14*0.88</f>
        <v>1503.04</v>
      </c>
    </row>
    <row r="16" ht="24" customHeight="1">
      <c r="A16" s="46"/>
      <c r="B16" s="58"/>
      <c r="C16" s="59"/>
      <c r="D16" t="s" s="60">
        <v>43</v>
      </c>
      <c r="E16" s="54">
        <v>38</v>
      </c>
    </row>
    <row r="17" ht="33.85" customHeight="1">
      <c r="A17" s="46"/>
      <c r="B17" s="55"/>
      <c r="C17" s="48"/>
      <c r="D17" t="s" s="61">
        <v>44</v>
      </c>
      <c r="E17" s="62" cm="1">
        <f t="array" ref="E17">SUM(E15)+E16</f>
        <v>1541.04</v>
      </c>
    </row>
  </sheetData>
  <conditionalFormatting sqref="B10 D16">
    <cfRule type="containsBlanks" dxfId="1" priority="1" stopIfTrue="1">
      <formula>ISBLANK(B10)</formula>
    </cfRule>
  </conditionalFormatting>
  <dataValidations count="3">
    <dataValidation type="list" allowBlank="1" showInputMessage="1" showErrorMessage="1" sqref="B10">
      <formula1>",明信片規格,名片規格,指定裁切"</formula1>
    </dataValidation>
    <dataValidation type="list" allowBlank="1" showInputMessage="1" showErrorMessage="1" sqref="D15">
      <formula1>"試印優惠88折,慶祝優惠88折"</formula1>
    </dataValidation>
    <dataValidation type="list" allowBlank="1" showInputMessage="1" showErrorMessage="1" sqref="D16">
      <formula1>",(超商+$38)運費,(黑貓+$150)運費,(已付款超取+$60)運費,(郵局秤重報價)運費,(客付)自行叫快遞,工作室自取"</formula1>
    </dataValidation>
  </dataValidations>
  <pageMargins left="0.5" right="0.5" top="0.25" bottom="0.5" header="0.25" footer="0.25"/>
  <pageSetup firstPageNumber="1" fitToHeight="1" fitToWidth="1" scale="96" useFirstPageNumber="0" orientation="portrait" pageOrder="downThenOver"/>
  <headerFooter>
    <oddFooter>&amp;L&amp;"Kohinoor Devanagari Regular,Regular"&amp;10&amp;K000000zinerstudio.com&amp;C&amp;"Kohinoor Devanagari Semibold,Regular"&amp;14&amp;K000000  THANK YOU&amp;R&amp;"PingFang TC Thin,Regular"&amp;10&amp;K000000誌造所 ZINER STUDIO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C5"/>
  <sheetViews>
    <sheetView workbookViewId="0" showGridLines="0" defaultGridColor="1"/>
  </sheetViews>
  <sheetFormatPr defaultColWidth="16.3333" defaultRowHeight="21.65" customHeight="1" outlineLevelRow="0" outlineLevelCol="0"/>
  <cols>
    <col min="1" max="3" width="16.3516" style="63" customWidth="1"/>
    <col min="4" max="16384" width="16.3516" style="63" customWidth="1"/>
  </cols>
  <sheetData>
    <row r="1" ht="8" customHeight="1">
      <c r="A1" t="s" s="64">
        <v>47</v>
      </c>
      <c r="B1" s="65"/>
      <c r="C1" s="66"/>
    </row>
    <row r="2" ht="8" customHeight="1">
      <c r="A2" s="67"/>
      <c r="B2" s="68"/>
      <c r="C2" s="69"/>
    </row>
    <row r="3" ht="8" customHeight="1">
      <c r="A3" s="70"/>
      <c r="B3" s="71"/>
      <c r="C3" s="72"/>
    </row>
    <row r="4" ht="8" customHeight="1">
      <c r="A4" s="67"/>
      <c r="B4" s="68"/>
      <c r="C4" s="69"/>
    </row>
    <row r="5" ht="8" customHeight="1">
      <c r="A5" s="73"/>
      <c r="B5" s="74"/>
      <c r="C5" s="75"/>
    </row>
  </sheetData>
  <mergeCells count="1">
    <mergeCell ref="A1:C5"/>
  </mergeCells>
  <pageMargins left="0.5" right="0.5" top="0.25" bottom="0.5" header="0.25" footer="0.25"/>
  <pageSetup firstPageNumber="1" fitToHeight="1" fitToWidth="1" scale="96" useFirstPageNumber="0" orientation="portrait" pageOrder="downThenOver"/>
  <headerFooter>
    <oddFooter>&amp;L&amp;"Kohinoor Devanagari Regular,Regular"&amp;10&amp;K000000zinerstudio.com&amp;C&amp;"Kohinoor Devanagari Semibold,Regular"&amp;14&amp;K000000  THANK YOU&amp;R&amp;"PingFang TC Thin,Regular"&amp;10&amp;K000000誌造所 ZINER STUDIO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5" right="0.5" top="0.25" bottom="0.5" header="0.25" footer="0.25"/>
  <pageSetup firstPageNumber="1" fitToHeight="1" fitToWidth="1" scale="96" useFirstPageNumber="0" orientation="portrait" pageOrder="downThenOver"/>
  <headerFooter>
    <oddFooter>&amp;L&amp;"Kohinoor Devanagari Regular,Regular"&amp;10&amp;K000000zinerstudio.com&amp;C&amp;"Kohinoor Devanagari Semibold,Regular"&amp;14&amp;K000000  THANK YOU&amp;R&amp;"PingFang TC Thin,Regular"&amp;10&amp;K000000誌造所 ZINER STUDIO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